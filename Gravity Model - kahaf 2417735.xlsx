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_Here" sheetId="1" r:id="rId5"/>
    <sheet state="visible" name="Pair_Data" sheetId="2" r:id="rId6"/>
    <sheet state="visible" name="Sheet1" sheetId="3" r:id="rId7"/>
    <sheet state="visible" name="Write_Up" sheetId="4" r:id="rId8"/>
  </sheets>
  <definedNames/>
  <calcPr/>
</workbook>
</file>

<file path=xl/sharedStrings.xml><?xml version="1.0" encoding="utf-8"?>
<sst xmlns="http://schemas.openxmlformats.org/spreadsheetml/2006/main" count="63" uniqueCount="47">
  <si>
    <t xml:space="preserve">                                                                           </t>
  </si>
  <si>
    <t>Goal</t>
  </si>
  <si>
    <t>Use GDP, distance, and actual trade data to test the gravity model.</t>
  </si>
  <si>
    <t>Student Tasks</t>
  </si>
  <si>
    <t xml:space="preserve">      </t>
  </si>
  <si>
    <t>1. Find the Predicted Trade Volume for each country pair based on the Gravity Model assuming A=1.</t>
  </si>
  <si>
    <t>2. Look online for the most current Actual Trade Volume for each country pair. Trade volume = Exports + Imports. Try the OEC.</t>
  </si>
  <si>
    <t>3. Derive the real constant A from the Actual Trade Volume.</t>
  </si>
  <si>
    <t>4. Calculate the average A in I14.</t>
  </si>
  <si>
    <t>5. Use the average A to alter your Predicted Trade Volume.</t>
  </si>
  <si>
    <t>6. Calculate the Residial.</t>
  </si>
  <si>
    <t xml:space="preserve">                                                                                                                                                                                      </t>
  </si>
  <si>
    <t>7. Complete the Write Up.</t>
  </si>
  <si>
    <t>Gravity Model</t>
  </si>
  <si>
    <t>Predicted Trade = A × (GDP_A × GDP_B) / Distance</t>
  </si>
  <si>
    <t>Units</t>
  </si>
  <si>
    <t>GDP = billions of USD</t>
  </si>
  <si>
    <t>Distance = km</t>
  </si>
  <si>
    <t>Trade = billions of USD</t>
  </si>
  <si>
    <t>Deliverables</t>
  </si>
  <si>
    <t>Completed Pair_Data sheet</t>
  </si>
  <si>
    <t>Completed Gravity_Calculator sheet</t>
  </si>
  <si>
    <t>Short write-up on model fit and anomalies</t>
  </si>
  <si>
    <t>Row ID</t>
  </si>
  <si>
    <t>Country A</t>
  </si>
  <si>
    <t>Country B</t>
  </si>
  <si>
    <t>GDP A
($bn)</t>
  </si>
  <si>
    <t>GDP B
($bn)</t>
  </si>
  <si>
    <t>Distance
(km)</t>
  </si>
  <si>
    <t>Predicted Trade
($bn)</t>
  </si>
  <si>
    <t>Actual Trade Volume
($bn)</t>
  </si>
  <si>
    <t xml:space="preserve"> A</t>
  </si>
  <si>
    <t>Residual
(Actual - Pred.)</t>
  </si>
  <si>
    <t>Model Fit Direction (Above or Below)</t>
  </si>
  <si>
    <t>India</t>
  </si>
  <si>
    <t>Bangladesh</t>
  </si>
  <si>
    <t>Nepal</t>
  </si>
  <si>
    <t>Pakistan</t>
  </si>
  <si>
    <t>Indonesia</t>
  </si>
  <si>
    <t>Kazakhstan</t>
  </si>
  <si>
    <t>Russia</t>
  </si>
  <si>
    <t>Uzbekistan</t>
  </si>
  <si>
    <t>Gravity Model Write-Up</t>
  </si>
  <si>
    <t>1. With the average A, which 2 pairs were closest to the model prediction? Explain why.</t>
  </si>
  <si>
    <t>2. With the average A, which 2 pairs were farthest from the model prediction? Explain why.</t>
  </si>
  <si>
    <t>3. What does the constant A seem to capture that GDP and distance alone do not?</t>
  </si>
  <si>
    <t>4. What would be a better way to determine an average A based on the information you have?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</si>
</sst>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7030A0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medium">
        <color rgb="FF1F4E78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5" fillId="2" fontId="7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0" fillId="0" fontId="4" numFmtId="4" xfId="0" applyAlignment="1" applyFont="1" applyNumberFormat="1">
      <alignment vertical="center"/>
    </xf>
    <xf borderId="0" fillId="0" fontId="5" numFmtId="4" xfId="0" applyFont="1" applyNumberFormat="1"/>
    <xf borderId="0" fillId="0" fontId="4" numFmtId="4" xfId="0" applyAlignment="1" applyFont="1" applyNumberFormat="1">
      <alignment readingOrder="0" vertical="center"/>
    </xf>
    <xf borderId="0" fillId="0" fontId="5" numFmtId="164" xfId="0" applyFont="1" applyNumberFormat="1"/>
    <xf borderId="0" fillId="0" fontId="0" numFmtId="0" xfId="0" applyFont="1"/>
    <xf borderId="6" fillId="4" fontId="5" numFmtId="164" xfId="0" applyAlignment="1" applyBorder="1" applyFill="1" applyFont="1" applyNumberFormat="1">
      <alignment readingOrder="0" shrinkToFit="0" wrapText="1"/>
    </xf>
    <xf borderId="0" fillId="5" fontId="4" numFmtId="4" xfId="0" applyAlignment="1" applyFill="1" applyFont="1" applyNumberFormat="1">
      <alignment vertical="center"/>
    </xf>
    <xf borderId="1" fillId="2" fontId="1" numFmtId="0" xfId="0" applyAlignment="1" applyBorder="1" applyFont="1">
      <alignment horizontal="left" vertical="center"/>
    </xf>
    <xf borderId="1" fillId="3" fontId="8" numFmtId="0" xfId="0" applyAlignment="1" applyBorder="1" applyFont="1">
      <alignment readingOrder="0" vertical="center"/>
    </xf>
    <xf borderId="1" fillId="6" fontId="4" numFmtId="0" xfId="0" applyAlignment="1" applyBorder="1" applyFill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90.0"/>
    <col customWidth="1" min="3" max="4" width="15.0"/>
    <col customWidth="1" min="5" max="26" width="8.71"/>
  </cols>
  <sheetData>
    <row r="1" ht="19.5" customHeight="1">
      <c r="A1" s="1" t="s">
        <v>0</v>
      </c>
      <c r="B1" s="2"/>
      <c r="C1" s="2"/>
      <c r="D1" s="3"/>
    </row>
    <row r="2" ht="19.5" customHeight="1"/>
    <row r="3" ht="19.5" customHeight="1">
      <c r="A3" s="4" t="s">
        <v>1</v>
      </c>
      <c r="B3" s="5" t="s">
        <v>2</v>
      </c>
    </row>
    <row r="4" ht="19.5" customHeight="1"/>
    <row r="5" ht="19.5" customHeight="1">
      <c r="A5" s="4" t="s">
        <v>3</v>
      </c>
      <c r="B5" s="6"/>
      <c r="F5" s="6" t="s">
        <v>4</v>
      </c>
    </row>
    <row r="6" ht="19.5" customHeight="1">
      <c r="B6" s="7" t="s">
        <v>5</v>
      </c>
    </row>
    <row r="7" ht="19.5" customHeight="1">
      <c r="B7" s="7" t="s">
        <v>6</v>
      </c>
    </row>
    <row r="8" ht="19.5" customHeight="1">
      <c r="B8" s="7" t="s">
        <v>7</v>
      </c>
    </row>
    <row r="9" ht="19.5" customHeight="1">
      <c r="B9" s="7" t="s">
        <v>8</v>
      </c>
    </row>
    <row r="10" ht="19.5" customHeight="1">
      <c r="B10" s="7" t="s">
        <v>9</v>
      </c>
    </row>
    <row r="11" ht="19.5" customHeight="1">
      <c r="B11" s="7" t="s">
        <v>10</v>
      </c>
      <c r="F11" s="6" t="s">
        <v>11</v>
      </c>
    </row>
    <row r="12" ht="19.5" customHeight="1">
      <c r="B12" s="7" t="s">
        <v>12</v>
      </c>
    </row>
    <row r="13" ht="19.5" customHeight="1"/>
    <row r="14" ht="19.5" customHeight="1">
      <c r="A14" s="4" t="s">
        <v>13</v>
      </c>
      <c r="B14" s="8" t="s">
        <v>14</v>
      </c>
    </row>
    <row r="15" ht="19.5" customHeight="1">
      <c r="B15" s="9"/>
    </row>
    <row r="16" ht="19.5" customHeight="1">
      <c r="A16" s="4" t="s">
        <v>15</v>
      </c>
      <c r="B16" s="5" t="s">
        <v>16</v>
      </c>
    </row>
    <row r="17" ht="19.5" customHeight="1">
      <c r="B17" s="5" t="s">
        <v>17</v>
      </c>
    </row>
    <row r="18" ht="19.5" customHeight="1">
      <c r="B18" s="5" t="s">
        <v>18</v>
      </c>
    </row>
    <row r="19" ht="19.5" customHeight="1"/>
    <row r="20" ht="19.5" customHeight="1">
      <c r="A20" s="4" t="s">
        <v>19</v>
      </c>
      <c r="B20" s="5" t="s">
        <v>20</v>
      </c>
    </row>
    <row r="21" ht="19.5" customHeight="1">
      <c r="B21" s="5" t="s">
        <v>21</v>
      </c>
    </row>
    <row r="22" ht="19.5" customHeight="1">
      <c r="B22" s="5" t="s">
        <v>22</v>
      </c>
    </row>
    <row r="23" ht="19.5" customHeight="1"/>
    <row r="24" ht="19.5" customHeight="1"/>
    <row r="25" ht="19.5" customHeight="1"/>
    <row r="26" ht="19.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3" width="16.0"/>
    <col customWidth="1" min="4" max="5" width="12.0"/>
    <col customWidth="1" min="6" max="6" width="13.0"/>
    <col customWidth="1" min="7" max="7" width="15.0"/>
    <col customWidth="1" min="8" max="8" width="16.14"/>
    <col customWidth="1" min="9" max="9" width="14.29"/>
    <col customWidth="1" min="10" max="10" width="17.0"/>
    <col customWidth="1" min="11" max="11" width="20.0"/>
    <col customWidth="1" min="12" max="24" width="8.71"/>
  </cols>
  <sheetData>
    <row r="1" ht="45.75" customHeight="1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1" t="s">
        <v>31</v>
      </c>
      <c r="J1" s="10" t="s">
        <v>32</v>
      </c>
      <c r="K1" s="11" t="s">
        <v>33</v>
      </c>
    </row>
    <row r="2" ht="21.75" customHeight="1">
      <c r="A2" s="5">
        <v>1.0</v>
      </c>
      <c r="B2" s="5" t="s">
        <v>34</v>
      </c>
      <c r="C2" s="5" t="s">
        <v>35</v>
      </c>
      <c r="D2" s="12">
        <v>4130.0</v>
      </c>
      <c r="E2" s="12">
        <v>519.29</v>
      </c>
      <c r="F2" s="12">
        <v>1420.0</v>
      </c>
      <c r="G2" s="13">
        <f t="shared" ref="G2:G13" si="1">0.0339*(D2*E2/F2)</f>
        <v>51.20016551</v>
      </c>
      <c r="H2" s="14">
        <v>13.16</v>
      </c>
      <c r="I2" s="15">
        <f t="shared" ref="I2:I13" si="2">H2/G2</f>
        <v>0.2570304191</v>
      </c>
      <c r="J2" s="12">
        <f t="shared" ref="J2:J14" si="3">H2-G2</f>
        <v>-38.04016551</v>
      </c>
      <c r="K2" s="5"/>
    </row>
    <row r="3" ht="21.75" customHeight="1">
      <c r="A3" s="5">
        <v>2.0</v>
      </c>
      <c r="B3" s="5" t="s">
        <v>34</v>
      </c>
      <c r="C3" s="5" t="s">
        <v>36</v>
      </c>
      <c r="D3" s="12">
        <v>4130.0</v>
      </c>
      <c r="E3" s="12">
        <v>49.11</v>
      </c>
      <c r="F3" s="12">
        <v>806.0</v>
      </c>
      <c r="G3" s="13">
        <f t="shared" si="1"/>
        <v>8.530699467</v>
      </c>
      <c r="H3" s="14">
        <v>8.2</v>
      </c>
      <c r="I3" s="15">
        <f t="shared" si="2"/>
        <v>0.961234191</v>
      </c>
      <c r="J3" s="12">
        <f t="shared" si="3"/>
        <v>-0.3306994665</v>
      </c>
      <c r="K3" s="5"/>
    </row>
    <row r="4" ht="21.75" customHeight="1">
      <c r="A4" s="5">
        <v>3.0</v>
      </c>
      <c r="B4" s="5" t="s">
        <v>34</v>
      </c>
      <c r="C4" s="5" t="s">
        <v>37</v>
      </c>
      <c r="D4" s="12">
        <v>4130.0</v>
      </c>
      <c r="E4" s="12">
        <v>410.5</v>
      </c>
      <c r="F4" s="12">
        <v>689.0</v>
      </c>
      <c r="G4" s="13">
        <f t="shared" si="1"/>
        <v>83.41491074</v>
      </c>
      <c r="H4" s="14">
        <v>2.4</v>
      </c>
      <c r="I4" s="15">
        <f t="shared" si="2"/>
        <v>0.02877183442</v>
      </c>
      <c r="J4" s="12">
        <f t="shared" si="3"/>
        <v>-81.01491074</v>
      </c>
      <c r="K4" s="5"/>
    </row>
    <row r="5" ht="21.75" customHeight="1">
      <c r="A5" s="5">
        <v>4.0</v>
      </c>
      <c r="B5" s="5" t="s">
        <v>34</v>
      </c>
      <c r="C5" s="5" t="s">
        <v>38</v>
      </c>
      <c r="D5" s="12">
        <v>4130.0</v>
      </c>
      <c r="E5" s="12">
        <v>1550.0</v>
      </c>
      <c r="F5" s="12">
        <v>4870.0</v>
      </c>
      <c r="G5" s="13">
        <f t="shared" si="1"/>
        <v>44.56074949</v>
      </c>
      <c r="H5" s="14">
        <v>35.8</v>
      </c>
      <c r="I5" s="15">
        <f t="shared" si="2"/>
        <v>0.8033976181</v>
      </c>
      <c r="J5" s="12">
        <f t="shared" si="3"/>
        <v>-8.760749487</v>
      </c>
      <c r="K5" s="5"/>
    </row>
    <row r="6" ht="21.75" customHeight="1">
      <c r="A6" s="5">
        <v>5.0</v>
      </c>
      <c r="B6" s="5" t="s">
        <v>34</v>
      </c>
      <c r="C6" s="5" t="s">
        <v>39</v>
      </c>
      <c r="D6" s="12">
        <v>4130.0</v>
      </c>
      <c r="E6" s="12">
        <v>300.05</v>
      </c>
      <c r="F6" s="12">
        <v>1810.0</v>
      </c>
      <c r="G6" s="13">
        <f t="shared" si="1"/>
        <v>23.20944771</v>
      </c>
      <c r="H6" s="14">
        <v>1.2</v>
      </c>
      <c r="I6" s="15">
        <f t="shared" si="2"/>
        <v>0.05170308295</v>
      </c>
      <c r="J6" s="12">
        <f t="shared" si="3"/>
        <v>-22.00944771</v>
      </c>
      <c r="K6" s="5"/>
    </row>
    <row r="7" ht="21.75" customHeight="1">
      <c r="A7" s="5">
        <v>6.0</v>
      </c>
      <c r="B7" s="5" t="s">
        <v>40</v>
      </c>
      <c r="C7" s="5" t="s">
        <v>39</v>
      </c>
      <c r="D7" s="12">
        <v>2540.66</v>
      </c>
      <c r="E7" s="12">
        <v>300.05</v>
      </c>
      <c r="F7" s="12">
        <v>2270.0</v>
      </c>
      <c r="G7" s="13">
        <f t="shared" si="1"/>
        <v>11.38450159</v>
      </c>
      <c r="H7" s="14">
        <v>28.5</v>
      </c>
      <c r="I7" s="15">
        <f t="shared" si="2"/>
        <v>2.5034034</v>
      </c>
      <c r="J7" s="12">
        <f t="shared" si="3"/>
        <v>17.11549841</v>
      </c>
      <c r="K7" s="7"/>
    </row>
    <row r="8" ht="21.75" customHeight="1">
      <c r="A8" s="5">
        <v>7.0</v>
      </c>
      <c r="B8" s="5" t="s">
        <v>40</v>
      </c>
      <c r="C8" s="5" t="s">
        <v>41</v>
      </c>
      <c r="D8" s="12">
        <v>2540.66</v>
      </c>
      <c r="E8" s="12">
        <v>159.2</v>
      </c>
      <c r="F8" s="12">
        <v>2790.0</v>
      </c>
      <c r="G8" s="13">
        <f t="shared" si="1"/>
        <v>4.914565283</v>
      </c>
      <c r="H8" s="14">
        <v>9.8</v>
      </c>
      <c r="I8" s="15">
        <f t="shared" si="2"/>
        <v>1.994072606</v>
      </c>
      <c r="J8" s="12">
        <f t="shared" si="3"/>
        <v>4.885434717</v>
      </c>
      <c r="K8" s="7"/>
    </row>
    <row r="9" ht="21.75" customHeight="1">
      <c r="A9" s="5">
        <v>8.0</v>
      </c>
      <c r="B9" s="5" t="s">
        <v>39</v>
      </c>
      <c r="C9" s="5" t="s">
        <v>41</v>
      </c>
      <c r="D9" s="12">
        <v>300.05</v>
      </c>
      <c r="E9" s="12">
        <v>159.2</v>
      </c>
      <c r="F9" s="12">
        <v>1240.0</v>
      </c>
      <c r="G9" s="13">
        <f t="shared" si="1"/>
        <v>1.30591439</v>
      </c>
      <c r="H9" s="14">
        <v>4.6</v>
      </c>
      <c r="I9" s="15">
        <f t="shared" si="2"/>
        <v>3.522436106</v>
      </c>
      <c r="J9" s="12">
        <f t="shared" si="3"/>
        <v>3.29408561</v>
      </c>
      <c r="K9" s="5"/>
    </row>
    <row r="10" ht="21.75" customHeight="1">
      <c r="A10" s="5">
        <v>9.0</v>
      </c>
      <c r="B10" s="5" t="s">
        <v>35</v>
      </c>
      <c r="C10" s="5" t="s">
        <v>37</v>
      </c>
      <c r="D10" s="12">
        <v>519.29</v>
      </c>
      <c r="E10" s="12">
        <v>410.5</v>
      </c>
      <c r="F10" s="12">
        <v>2200.0</v>
      </c>
      <c r="G10" s="13">
        <f t="shared" si="1"/>
        <v>3.284733489</v>
      </c>
      <c r="H10" s="14">
        <v>0.85</v>
      </c>
      <c r="I10" s="15">
        <f t="shared" si="2"/>
        <v>0.2587728968</v>
      </c>
      <c r="J10" s="12">
        <f t="shared" si="3"/>
        <v>-2.434733489</v>
      </c>
      <c r="K10" s="5"/>
    </row>
    <row r="11" ht="21.75" customHeight="1">
      <c r="A11" s="5">
        <v>10.0</v>
      </c>
      <c r="B11" s="5" t="s">
        <v>35</v>
      </c>
      <c r="C11" s="5" t="s">
        <v>38</v>
      </c>
      <c r="D11" s="12">
        <v>519.29</v>
      </c>
      <c r="E11" s="12">
        <v>1550.0</v>
      </c>
      <c r="F11" s="12">
        <v>3790.0</v>
      </c>
      <c r="G11" s="13">
        <f t="shared" si="1"/>
        <v>7.199496847</v>
      </c>
      <c r="H11" s="14">
        <v>4.2</v>
      </c>
      <c r="I11" s="15">
        <f t="shared" si="2"/>
        <v>0.5833741009</v>
      </c>
      <c r="J11" s="12">
        <f t="shared" si="3"/>
        <v>-2.999496847</v>
      </c>
      <c r="K11" s="5"/>
    </row>
    <row r="12" ht="21.75" customHeight="1">
      <c r="A12" s="5">
        <v>11.0</v>
      </c>
      <c r="B12" s="5" t="s">
        <v>38</v>
      </c>
      <c r="C12" s="5" t="s">
        <v>37</v>
      </c>
      <c r="D12" s="12">
        <v>1550.0</v>
      </c>
      <c r="E12" s="12">
        <v>410.5</v>
      </c>
      <c r="F12" s="12">
        <v>5220.0</v>
      </c>
      <c r="G12" s="13">
        <f t="shared" si="1"/>
        <v>4.132130747</v>
      </c>
      <c r="H12" s="14">
        <v>4.1</v>
      </c>
      <c r="I12" s="15">
        <f t="shared" si="2"/>
        <v>0.9922241698</v>
      </c>
      <c r="J12" s="12">
        <f t="shared" si="3"/>
        <v>-0.03213074713</v>
      </c>
      <c r="K12" s="5"/>
    </row>
    <row r="13" ht="21.75" customHeight="1">
      <c r="A13" s="5">
        <v>12.0</v>
      </c>
      <c r="B13" s="5" t="s">
        <v>41</v>
      </c>
      <c r="C13" s="5" t="s">
        <v>34</v>
      </c>
      <c r="D13" s="12">
        <v>159.2</v>
      </c>
      <c r="E13" s="12">
        <v>4130.0</v>
      </c>
      <c r="F13" s="12">
        <v>1575.0</v>
      </c>
      <c r="G13" s="13">
        <f t="shared" si="1"/>
        <v>14.15181867</v>
      </c>
      <c r="H13" s="14">
        <v>0.78</v>
      </c>
      <c r="I13" s="15">
        <f t="shared" si="2"/>
        <v>0.0551165909</v>
      </c>
      <c r="J13" s="12">
        <f t="shared" si="3"/>
        <v>-13.37181867</v>
      </c>
      <c r="K13" s="5"/>
    </row>
    <row r="14">
      <c r="C14" s="16"/>
      <c r="I14" s="17">
        <f>AVERAGE(I2:I13)</f>
        <v>1.000961418</v>
      </c>
      <c r="J14" s="18">
        <f t="shared" si="3"/>
        <v>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J2:J14">
    <cfRule type="cellIs" dxfId="0" priority="1" operator="greaterThan">
      <formula>0</formula>
    </cfRule>
  </conditionalFormatting>
  <conditionalFormatting sqref="J2:J14">
    <cfRule type="cellIs" dxfId="1" priority="2" operator="less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55.0"/>
    <col customWidth="1" min="3" max="26" width="8.71"/>
  </cols>
  <sheetData>
    <row r="1" ht="21.75" customHeight="1">
      <c r="A1" s="19" t="s">
        <v>42</v>
      </c>
      <c r="B1" s="3"/>
    </row>
    <row r="3">
      <c r="A3" s="20" t="s">
        <v>43</v>
      </c>
      <c r="B3" s="3"/>
    </row>
    <row r="4" ht="39.75" customHeight="1">
      <c r="A4" s="21"/>
      <c r="B4" s="3"/>
    </row>
    <row r="6">
      <c r="A6" s="20" t="s">
        <v>44</v>
      </c>
      <c r="B6" s="3"/>
    </row>
    <row r="7" ht="39.75" customHeight="1">
      <c r="A7" s="21"/>
      <c r="B7" s="3"/>
    </row>
    <row r="9" ht="15.75" customHeight="1">
      <c r="A9" s="20" t="s">
        <v>45</v>
      </c>
      <c r="B9" s="3"/>
    </row>
    <row r="10" ht="39.75" customHeight="1">
      <c r="A10" s="21"/>
      <c r="B10" s="3"/>
    </row>
    <row r="11" ht="15.75" customHeight="1">
      <c r="A11" s="22"/>
      <c r="B11" s="22"/>
    </row>
    <row r="12" ht="15.75" customHeight="1">
      <c r="A12" s="20" t="s">
        <v>46</v>
      </c>
      <c r="B12" s="3"/>
    </row>
    <row r="13" ht="45.0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8">
    <mergeCell ref="A1:B1"/>
    <mergeCell ref="A3:B3"/>
    <mergeCell ref="A4:B4"/>
    <mergeCell ref="A6:B6"/>
    <mergeCell ref="A7:B7"/>
    <mergeCell ref="A9:B9"/>
    <mergeCell ref="A10:B10"/>
    <mergeCell ref="A12:B12"/>
  </mergeCells>
  <printOptions/>
  <pageMargins bottom="1.0" footer="0.0" header="0.0" left="0.75" right="0.75" top="1.0"/>
  <pageSetup orientation="landscape"/>
  <drawing r:id="rId1"/>
</worksheet>
</file>