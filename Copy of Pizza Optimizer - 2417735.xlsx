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OPT" sheetId="2" r:id="rId6"/>
    <sheet state="visible" name="info" sheetId="3" r:id="rId7"/>
    <sheet state="visible" name="OPT2" sheetId="4" r:id="rId8"/>
    <sheet state="hidden" name="__OpenSolverCache__" sheetId="5" r:id="rId9"/>
    <sheet state="hidden" name="__OpenSolver__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tc={33e7aae0-6244-49f6-9eb8-3faea19a6e61}</author>
    <author>tc={3a5b9735-c09a-449c-8e6a-f2f916bbae76}</author>
  </authors>
  <commentList>
    <comment authorId="0" xr:uid="{33e7aae0-6244-49f6-9eb8-3faea19a6e61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dang! you beat me
Reply:
	how?
</t>
      </text>
    </comment>
    <comment authorId="1" xr:uid="{3a5b9735-c09a-449c-8e6a-f2f916bbae76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will do
</t>
      </text>
    </comment>
  </commentList>
</comments>
</file>

<file path=xl/sharedStrings.xml><?xml version="1.0" encoding="utf-8"?>
<sst xmlns="http://schemas.openxmlformats.org/spreadsheetml/2006/main" count="134" uniqueCount="88">
  <si>
    <t xml:space="preserve">Toppings </t>
  </si>
  <si>
    <t>cost</t>
  </si>
  <si>
    <t>Satisfaction score</t>
  </si>
  <si>
    <t>Buy</t>
  </si>
  <si>
    <t>Buffalo mozzarella</t>
  </si>
  <si>
    <t>2.00</t>
  </si>
  <si>
    <t>5.0</t>
  </si>
  <si>
    <t>Gorgonzola</t>
  </si>
  <si>
    <t>1.50</t>
  </si>
  <si>
    <t>Ricotta</t>
  </si>
  <si>
    <t>1.00</t>
  </si>
  <si>
    <t>Burrata</t>
  </si>
  <si>
    <t>3.00</t>
  </si>
  <si>
    <t>Parma ham</t>
  </si>
  <si>
    <t>Pancetta</t>
  </si>
  <si>
    <t>Salame</t>
  </si>
  <si>
    <t>Nduja</t>
  </si>
  <si>
    <t>0.50</t>
  </si>
  <si>
    <t>Zucchini</t>
  </si>
  <si>
    <t>Fried eggplant</t>
  </si>
  <si>
    <t>https://pizz-opz-c87bbfepdbxteg9uekeh3n.streamlit.app/</t>
  </si>
  <si>
    <t>topping name</t>
  </si>
  <si>
    <t>cost (ww)</t>
  </si>
  <si>
    <t>sat. score</t>
  </si>
  <si>
    <t>buy/not buy</t>
  </si>
  <si>
    <t>Total Cost (based buy)</t>
  </si>
  <si>
    <t>Total Sat. (based on buy)</t>
  </si>
  <si>
    <t>✈️ The Game: The Silk Road Skyways</t>
  </si>
  <si>
    <t>The Objective: Meet the global demand for the new flagship phone while keeping your air freight costs as low as possible.</t>
  </si>
  <si>
    <t>1. The Supply (Your Factories)</t>
  </si>
  <si>
    <t>Your factories are high-tech hubs. Beijing is a fully automated "Dark Factory," while Shanghai is your primary export hub.</t>
  </si>
  <si>
    <t>Factory 1: Beijing (PEK) – Capacity: 1,200 units/day</t>
  </si>
  <si>
    <t>Factory 2: Shanghai (PVG) – Capacity: 1,000 units/day</t>
  </si>
  <si>
    <t>2. The Demand (The Retail Shops)</t>
  </si>
  <si>
    <t>Three major world cities are waiting for their shipments. If you don't send enough, you lose market share!</t>
  </si>
  <si>
    <t>Store 1: New York, USA (JFK) – Needs: 800 units</t>
  </si>
  <si>
    <t>Store 2: London, UK (LHR) – Needs: 600 units</t>
  </si>
  <si>
    <t>Store 3: Tokyo, Japan (NRT) – Needs: 700 units</t>
  </si>
  <si>
    <t>3. The Shipping Cost Matrix (Cost per Unit by Air)</t>
  </si>
  <si>
    <t>Shipping costs are calculated based on flight distance, fuel surcharges, and landing fees. Tokyo is cheap because it's a "Short Haul," while New York is the most expensive "Long Haul."</t>
  </si>
  <si>
    <t>From \ To</t>
  </si>
  <si>
    <t>New York (JFK)</t>
  </si>
  <si>
    <t>London (LHR)</t>
  </si>
  <si>
    <t>Tokyo (NRT)</t>
  </si>
  <si>
    <t>Beijing (PEK)</t>
  </si>
  <si>
    <t>Shanghai (PVG)</t>
  </si>
  <si>
    <t>(Costs are per unit. Note: Shanghai has slightly better rates to the West because it is a larger international cargo hub than Beijing.)</t>
  </si>
  <si>
    <t>🕹️ How to Play (Optimization Steps)</t>
  </si>
  <si>
    <t>To solve this like a pro, you need to build your model using these four pillars:</t>
  </si>
  <si>
    <t>Step 1: The "Decision Grid"</t>
  </si>
  <si>
    <t>Create a table in Excel (or on paper) with 6 empty cells representing the "routes":</t>
  </si>
  <si>
    <t>Beijing → NY</t>
  </si>
  <si>
    <t>Beijing → London</t>
  </si>
  <si>
    <t>Beijing → Tokyo</t>
  </si>
  <si>
    <t>Shanghai → NY</t>
  </si>
  <si>
    <t>Shanghai → London</t>
  </si>
  <si>
    <t>Shanghai → Tokyo</t>
  </si>
  <si>
    <t>Step 2: The Objective Function (The Money)</t>
  </si>
  <si>
    <t>Your goal is to Minimize Total Cost.</t>
  </si>
  <si>
    <t>Total Cost = (Units on Route 1 × $12.50) + (Units on Route 2 × $10.00) + ... and so on.</t>
  </si>
  <si>
    <t>Step 3: The "Factory" Constraints (Supply)</t>
  </si>
  <si>
    <t>You can’t ship more than you have!</t>
  </si>
  <si>
    <t>The sum of all phones leaving Beijing must be $\le 1,200$.</t>
  </si>
  <si>
    <t>The sum of all phones leaving Shanghai must be $\le 1,000$.</t>
  </si>
  <si>
    <t>Step 4: The "Market" Constraints (Demand)</t>
  </si>
  <si>
    <t>The fans in each city must get their phones!</t>
  </si>
  <si>
    <t>Beijing-to-NY + Shanghai-to-NY must $= 800$.</t>
  </si>
  <si>
    <t>Beijing-to-London + Shanghai-to-London must $= 600$.</t>
  </si>
  <si>
    <t>Beijing-to-Tokyo + Shanghai-to-Tokyo must $= 700$.</t>
  </si>
  <si>
    <t>The Air Freight Cost Matrix</t>
  </si>
  <si>
    <t>FACTORY</t>
  </si>
  <si>
    <t>COST($)</t>
  </si>
  <si>
    <t>NY (JFK)</t>
  </si>
  <si>
    <t>Decision Variables</t>
  </si>
  <si>
    <t>(Units Shipped)</t>
  </si>
  <si>
    <t>NY</t>
  </si>
  <si>
    <t>LONDON</t>
  </si>
  <si>
    <t>TOKYO</t>
  </si>
  <si>
    <t>Row Total (Supply)</t>
  </si>
  <si>
    <t>(SYMBOL)</t>
  </si>
  <si>
    <t>CAPACITY</t>
  </si>
  <si>
    <t>&lt;=</t>
  </si>
  <si>
    <t>&gt;=</t>
  </si>
  <si>
    <t xml:space="preserve"> Total (Demand)</t>
  </si>
  <si>
    <t>TOTAL COST</t>
  </si>
  <si>
    <t>I belive this is the best possible score</t>
  </si>
  <si>
    <t>https://gemini.google.com/app/3fa5189f3701b483?utm_source=app_launcher&amp;utm_medium=owned&amp;utm_campaign=base_all</t>
  </si>
  <si>
    <t>https://docs.google.com/document/d/1BulNHBRdLrZuYRtE_A1hTS15y9_4mGxaCSJpdLFOQRw/edit?usp=sharing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</si>
</sst>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&quot;$&quot;#,##0.00"/>
  </numFmts>
  <fonts count="15">
    <font>
      <sz val="10.0"/>
      <color rgb="FF000000"/>
      <name val="Arial"/>
      <scheme val="minor"/>
    </font>
    <font>
      <color rgb="FF1A1A1A"/>
      <name val="Arial"/>
    </font>
    <font>
      <color theme="1"/>
      <name val="Arial"/>
    </font>
    <font>
      <u/>
      <color rgb="FF0000FF"/>
    </font>
    <font>
      <color theme="1"/>
      <name val="Arial"/>
      <scheme val="minor"/>
    </font>
    <font>
      <sz val="17.0"/>
      <color rgb="FF1B4F72"/>
      <name val="Arial"/>
      <scheme val="minor"/>
    </font>
    <font>
      <b/>
      <sz val="14.0"/>
      <color theme="1"/>
      <name val="&quot;Google Sans&quot;"/>
    </font>
    <font>
      <b/>
      <sz val="14.0"/>
      <color theme="1"/>
      <name val="&quot;Google Sans Text&quot;"/>
    </font>
    <font>
      <b/>
      <color theme="1"/>
      <name val="&quot;Google Sans&quot;"/>
    </font>
    <font>
      <b/>
      <color theme="1"/>
      <name val="&quot;Google Sans Text&quot;"/>
    </font>
    <font>
      <b/>
      <i/>
      <color theme="1"/>
      <name val="&quot;Google Sans Text&quot;"/>
    </font>
    <font>
      <b/>
      <i/>
      <sz val="14.0"/>
      <color theme="1"/>
      <name val="&quot;Google Sans&quot;"/>
    </font>
    <font>
      <b/>
      <i/>
      <sz val="14.0"/>
      <color theme="1"/>
      <name val="&quot;Google Sans Text&quot;"/>
    </font>
    <font>
      <b/>
      <color theme="1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2" fontId="2" numFmtId="0" xfId="0" applyAlignment="1" applyFont="1">
      <alignment readingOrder="0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shrinkToFit="0" wrapText="1"/>
    </xf>
    <xf borderId="3" fillId="2" fontId="2" numFmtId="0" xfId="0" applyBorder="1" applyFont="1"/>
    <xf borderId="4" fillId="3" fontId="1" numFmtId="0" xfId="0" applyAlignment="1" applyBorder="1" applyFill="1" applyFont="1">
      <alignment shrinkToFit="0" wrapText="1"/>
    </xf>
    <xf borderId="5" fillId="3" fontId="1" numFmtId="0" xfId="0" applyAlignment="1" applyBorder="1" applyFont="1">
      <alignment horizontal="center" shrinkToFit="0" wrapText="1"/>
    </xf>
    <xf borderId="5" fillId="3" fontId="1" numFmtId="164" xfId="0" applyAlignment="1" applyBorder="1" applyFont="1" applyNumberFormat="1">
      <alignment horizontal="right" shrinkToFit="0" wrapText="1"/>
    </xf>
    <xf borderId="6" fillId="3" fontId="2" numFmtId="0" xfId="0" applyBorder="1" applyFont="1"/>
    <xf borderId="2" fillId="2" fontId="1" numFmtId="164" xfId="0" applyAlignment="1" applyBorder="1" applyFont="1" applyNumberFormat="1">
      <alignment horizontal="right" shrinkToFit="0" wrapText="1"/>
    </xf>
    <xf quotePrefix="1" borderId="4" fillId="3" fontId="1" numFmtId="0" xfId="0" applyAlignment="1" applyBorder="1" applyFont="1">
      <alignment shrinkToFit="0" wrapText="1"/>
    </xf>
    <xf borderId="7" fillId="3" fontId="1" numFmtId="0" xfId="0" applyAlignment="1" applyBorder="1" applyFont="1">
      <alignment shrinkToFit="0" wrapText="1"/>
    </xf>
    <xf borderId="8" fillId="3" fontId="1" numFmtId="0" xfId="0" applyAlignment="1" applyBorder="1" applyFont="1">
      <alignment horizontal="center" shrinkToFit="0" wrapText="1"/>
    </xf>
    <xf borderId="8" fillId="3" fontId="1" numFmtId="164" xfId="0" applyAlignment="1" applyBorder="1" applyFont="1" applyNumberFormat="1">
      <alignment horizontal="right" shrinkToFit="0" wrapText="1"/>
    </xf>
    <xf borderId="9" fillId="3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1" numFmtId="2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5" numFmtId="0" xfId="0" applyFont="1"/>
    <xf quotePrefix="1" borderId="0" fillId="0" fontId="1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readingOrder="0"/>
    </xf>
    <xf borderId="0" fillId="4" fontId="13" numFmtId="0" xfId="0" applyAlignment="1" applyFill="1" applyFont="1">
      <alignment readingOrder="0"/>
    </xf>
    <xf borderId="0" fillId="4" fontId="4" numFmtId="0" xfId="0" applyFont="1"/>
    <xf borderId="0" fillId="5" fontId="13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6" fontId="13" numFmtId="0" xfId="0" applyAlignment="1" applyFont="1">
      <alignment horizontal="center" readingOrder="0"/>
    </xf>
    <xf borderId="0" fillId="5" fontId="13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6" fontId="14" numFmtId="0" xfId="0" applyAlignment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5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9" numFmtId="3" xfId="0" applyAlignment="1" applyFont="1" applyNumberFormat="1">
      <alignment readingOrder="0"/>
    </xf>
    <xf borderId="0" fillId="7" fontId="13" numFmtId="0" xfId="0" applyAlignment="1" applyFill="1" applyFont="1">
      <alignment readingOrder="0"/>
    </xf>
    <xf borderId="0" fillId="0" fontId="4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2" pivot="0" name="raw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onga가하프" id="{db970680-54b9-4838-a601-8a1aab2f4048}" providerId="google-sheets"/>
  <x18tc:person displayName="Joshua Dean" id="{83a2c0a6-dbda-4833-b621-54c59cfc3cb1}" providerId="google-sheets"/>
</x18tc:personList>
</file>

<file path=xl/tables/table1.xml><?xml version="1.0" encoding="utf-8"?>
<table xmlns="http://schemas.openxmlformats.org/spreadsheetml/2006/main" headerRowCount="0" ref="A2:D1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ra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" dT="2026-04-09T04:54:56.00" personId="{83a2c0a6-dbda-4833-b621-54c59cfc3cb1}" id="{33e7aae0-6244-49f6-9eb8-3faea19a6e61}" done="1">
    <x18tc:text xml:space="preserve">dang! you beat me</x18tc:text>
  </x18tc:threadedComment>
  <x18tc:threadedComment ref="B17" dT="2026-04-09T05:03:36.00" personId="{db970680-54b9-4838-a601-8a1aab2f4048}" id="{cb06f478-872c-453b-819b-619234ba5165}" parentId="{33e7aae0-6244-49f6-9eb8-3faea19a6e61}">
    <x18tc:text xml:space="preserve">how?</x18tc:text>
  </x18tc:threadedComment>
  <x18tc:threadedComment ref="A24" dT="2026-04-09T04:55:37.00" personId="{83a2c0a6-dbda-4833-b621-54c59cfc3cb1}" id="{3a5b9735-c09a-449c-8e6a-f2f916bbae76}" done="1">
    <x18tc:text xml:space="preserve">this will do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izz-opz-c87bbfepdbxteg9uekeh3n.streamlit.app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gemini.google.com/app/3fa5189f3701b483?utm_source=app_launcher&amp;utm_medium=owned&amp;utm_campaign=base_all" TargetMode="External"/><Relationship Id="rId5" Type="http://schemas.openxmlformats.org/officeDocument/2006/relationships/hyperlink" Target="https://docs.google.com/document/d/1BulNHBRdLrZuYRtE_A1hTS15y9_4mGxaCSJpdLFOQRw/edit?usp=sharing" TargetMode="External"/><Relationship Id="rId6" Type="http://schemas.openxmlformats.org/officeDocument/2006/relationships/drawing" Target="../drawings/drawing4.xml"/><Relationship Id="rId7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7.0" customHeight="1">
      <c r="A1" s="1" t="s">
        <v>0</v>
      </c>
      <c r="B1" s="2" t="s">
        <v>1</v>
      </c>
      <c r="C1" s="1" t="s">
        <v>2</v>
      </c>
      <c r="D1" s="3" t="s">
        <v>3</v>
      </c>
      <c r="E1" s="4"/>
    </row>
    <row r="2">
      <c r="A2" s="5" t="s">
        <v>4</v>
      </c>
      <c r="B2" s="6" t="s">
        <v>5</v>
      </c>
      <c r="C2" s="7" t="s">
        <v>6</v>
      </c>
      <c r="D2" s="8"/>
      <c r="E2" s="4"/>
    </row>
    <row r="3">
      <c r="A3" s="9" t="s">
        <v>7</v>
      </c>
      <c r="B3" s="10" t="s">
        <v>8</v>
      </c>
      <c r="C3" s="11">
        <v>46025.0</v>
      </c>
      <c r="D3" s="12"/>
      <c r="E3" s="4"/>
    </row>
    <row r="4">
      <c r="A4" s="5" t="s">
        <v>9</v>
      </c>
      <c r="B4" s="6" t="s">
        <v>10</v>
      </c>
      <c r="C4" s="13">
        <v>46057.0</v>
      </c>
      <c r="D4" s="8"/>
      <c r="E4" s="4"/>
    </row>
    <row r="5">
      <c r="A5" s="9" t="s">
        <v>11</v>
      </c>
      <c r="B5" s="10" t="s">
        <v>12</v>
      </c>
      <c r="C5" s="11">
        <v>46207.0</v>
      </c>
      <c r="D5" s="12"/>
      <c r="E5" s="4"/>
    </row>
    <row r="6">
      <c r="A6" s="5" t="s">
        <v>13</v>
      </c>
      <c r="B6" s="6" t="s">
        <v>12</v>
      </c>
      <c r="C6" s="13">
        <v>46060.0</v>
      </c>
      <c r="D6" s="8"/>
      <c r="E6" s="4"/>
    </row>
    <row r="7">
      <c r="A7" s="9" t="s">
        <v>14</v>
      </c>
      <c r="B7" s="10" t="s">
        <v>5</v>
      </c>
      <c r="C7" s="11">
        <v>46057.0</v>
      </c>
      <c r="D7" s="12"/>
      <c r="E7" s="4"/>
    </row>
    <row r="8">
      <c r="A8" s="5" t="s">
        <v>15</v>
      </c>
      <c r="B8" s="6" t="s">
        <v>5</v>
      </c>
      <c r="C8" s="13">
        <v>46089.0</v>
      </c>
      <c r="D8" s="8"/>
      <c r="E8" s="4"/>
    </row>
    <row r="9">
      <c r="A9" s="14" t="s">
        <v>16</v>
      </c>
      <c r="B9" s="10" t="s">
        <v>17</v>
      </c>
      <c r="C9" s="11">
        <v>46238.0</v>
      </c>
      <c r="D9" s="12"/>
      <c r="E9" s="4"/>
    </row>
    <row r="10">
      <c r="A10" s="5" t="s">
        <v>18</v>
      </c>
      <c r="B10" s="6" t="s">
        <v>10</v>
      </c>
      <c r="C10" s="13">
        <v>46145.0</v>
      </c>
      <c r="D10" s="8"/>
      <c r="E10" s="4"/>
    </row>
    <row r="11">
      <c r="A11" s="15" t="s">
        <v>19</v>
      </c>
      <c r="B11" s="16" t="s">
        <v>5</v>
      </c>
      <c r="C11" s="17">
        <v>46058.0</v>
      </c>
      <c r="D11" s="18"/>
      <c r="E11" s="4"/>
    </row>
    <row r="12">
      <c r="A12" s="4"/>
      <c r="B12" s="4"/>
      <c r="C12" s="4"/>
      <c r="D12" s="4"/>
      <c r="E12" s="4"/>
    </row>
    <row r="20">
      <c r="A20" s="19" t="s">
        <v>20</v>
      </c>
    </row>
  </sheetData>
  <hyperlinks>
    <hyperlink r:id="rId1" ref="A20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63"/>
    <col customWidth="1" min="6" max="6" width="23.5"/>
  </cols>
  <sheetData>
    <row r="1">
      <c r="A1" s="20" t="s">
        <v>21</v>
      </c>
      <c r="B1" s="20" t="s">
        <v>22</v>
      </c>
      <c r="C1" s="20" t="s">
        <v>23</v>
      </c>
      <c r="D1" s="20" t="s">
        <v>24</v>
      </c>
      <c r="E1" s="20" t="s">
        <v>25</v>
      </c>
      <c r="F1" s="20" t="s">
        <v>26</v>
      </c>
    </row>
    <row r="2">
      <c r="A2" s="21" t="s">
        <v>4</v>
      </c>
      <c r="B2" s="22">
        <v>2.0</v>
      </c>
      <c r="C2" s="23">
        <v>5.0</v>
      </c>
      <c r="D2" s="20">
        <v>1.0</v>
      </c>
      <c r="E2" s="24">
        <f>SUMPRODUCT(B2:B11,D2:D11)</f>
        <v>18</v>
      </c>
      <c r="F2" s="24">
        <f>SUMPRODUCT(C2:C11,D2:D11)</f>
        <v>50.2</v>
      </c>
    </row>
    <row r="3">
      <c r="A3" s="21" t="s">
        <v>7</v>
      </c>
      <c r="B3" s="22">
        <v>1.5</v>
      </c>
      <c r="C3" s="23">
        <v>3.1</v>
      </c>
      <c r="D3" s="20">
        <v>1.0</v>
      </c>
      <c r="E3" s="20" t="str">
        <f>SUMPRODUCT(#REF!,#REF!)</f>
        <v>#REF!</v>
      </c>
    </row>
    <row r="4">
      <c r="A4" s="21" t="s">
        <v>9</v>
      </c>
      <c r="B4" s="22">
        <v>1.0</v>
      </c>
      <c r="C4" s="23">
        <v>4.2</v>
      </c>
      <c r="D4" s="20">
        <v>1.0</v>
      </c>
      <c r="E4" s="20">
        <f t="shared" ref="E4:E11" si="1">SUMPRODUCT(C1:C10,D1:D10)</f>
        <v>45</v>
      </c>
    </row>
    <row r="5">
      <c r="A5" s="21" t="s">
        <v>11</v>
      </c>
      <c r="B5" s="22">
        <v>3.0</v>
      </c>
      <c r="C5" s="23">
        <v>4.7</v>
      </c>
      <c r="D5" s="20">
        <v>1.0</v>
      </c>
      <c r="E5" s="20">
        <f t="shared" si="1"/>
        <v>50.2</v>
      </c>
    </row>
    <row r="6">
      <c r="A6" s="21" t="s">
        <v>13</v>
      </c>
      <c r="B6" s="22">
        <v>3.0</v>
      </c>
      <c r="C6" s="23">
        <v>7.2</v>
      </c>
      <c r="D6" s="20">
        <v>1.0</v>
      </c>
      <c r="E6" s="20">
        <f t="shared" si="1"/>
        <v>45.2</v>
      </c>
    </row>
    <row r="7">
      <c r="A7" s="21" t="s">
        <v>14</v>
      </c>
      <c r="B7" s="22">
        <v>2.0</v>
      </c>
      <c r="C7" s="23">
        <v>4.2</v>
      </c>
      <c r="D7" s="20">
        <v>1.0</v>
      </c>
      <c r="E7" s="20">
        <f t="shared" si="1"/>
        <v>42.1</v>
      </c>
    </row>
    <row r="8">
      <c r="A8" s="21" t="s">
        <v>15</v>
      </c>
      <c r="B8" s="22">
        <v>2.0</v>
      </c>
      <c r="C8" s="23">
        <v>8.3</v>
      </c>
      <c r="D8" s="20">
        <v>1.0</v>
      </c>
      <c r="E8" s="20">
        <f t="shared" si="1"/>
        <v>37.9</v>
      </c>
    </row>
    <row r="9">
      <c r="A9" s="25" t="s">
        <v>16</v>
      </c>
      <c r="B9" s="22">
        <v>0.5</v>
      </c>
      <c r="C9" s="23">
        <v>4.8</v>
      </c>
      <c r="D9" s="20">
        <v>1.0</v>
      </c>
      <c r="E9" s="20">
        <f t="shared" si="1"/>
        <v>33.2</v>
      </c>
    </row>
    <row r="10">
      <c r="A10" s="21" t="s">
        <v>18</v>
      </c>
      <c r="B10" s="22">
        <v>1.0</v>
      </c>
      <c r="C10" s="23">
        <v>3.5</v>
      </c>
      <c r="D10" s="20">
        <v>1.0</v>
      </c>
      <c r="E10" s="20">
        <f t="shared" si="1"/>
        <v>26</v>
      </c>
    </row>
    <row r="11">
      <c r="A11" s="21" t="s">
        <v>19</v>
      </c>
      <c r="B11" s="22">
        <v>2.0</v>
      </c>
      <c r="C11" s="23">
        <v>5.2</v>
      </c>
      <c r="D11" s="20">
        <v>1.0</v>
      </c>
      <c r="E11" s="20">
        <f t="shared" si="1"/>
        <v>21.8</v>
      </c>
    </row>
    <row r="13">
      <c r="D13" s="20" t="s">
        <v>24</v>
      </c>
      <c r="E13" s="20" t="s">
        <v>25</v>
      </c>
      <c r="F13" s="20" t="s">
        <v>26</v>
      </c>
    </row>
    <row r="14">
      <c r="D14" s="20">
        <v>0.0</v>
      </c>
    </row>
    <row r="15">
      <c r="D15" s="20">
        <v>0.0</v>
      </c>
    </row>
    <row r="16">
      <c r="D16" s="20">
        <v>0.0</v>
      </c>
    </row>
    <row r="17">
      <c r="D17" s="20">
        <v>0.0</v>
      </c>
    </row>
    <row r="18">
      <c r="D18" s="20">
        <v>1.0</v>
      </c>
    </row>
    <row r="19">
      <c r="D19" s="20">
        <v>1.0</v>
      </c>
    </row>
    <row r="20">
      <c r="D20" s="20">
        <v>0.0</v>
      </c>
    </row>
    <row r="21">
      <c r="D21" s="20">
        <v>0.0</v>
      </c>
    </row>
    <row r="22">
      <c r="D22" s="20">
        <v>1.0</v>
      </c>
    </row>
    <row r="23">
      <c r="D23" s="20">
        <v>1.0</v>
      </c>
    </row>
  </sheetData>
  <conditionalFormatting sqref="E2">
    <cfRule type="notContainsBlanks" dxfId="3" priority="1">
      <formula>LEN(TRIM(E2))&gt;0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27</v>
      </c>
    </row>
    <row r="2">
      <c r="A2" s="27"/>
    </row>
    <row r="3">
      <c r="A3" s="28" t="s">
        <v>28</v>
      </c>
    </row>
    <row r="4">
      <c r="A4" s="29"/>
    </row>
    <row r="5">
      <c r="A5" s="30" t="s">
        <v>29</v>
      </c>
    </row>
    <row r="6">
      <c r="A6" s="31"/>
    </row>
    <row r="7">
      <c r="A7" s="32" t="s">
        <v>30</v>
      </c>
    </row>
    <row r="8">
      <c r="A8" s="31"/>
    </row>
    <row r="9">
      <c r="A9" s="32" t="s">
        <v>31</v>
      </c>
    </row>
    <row r="10">
      <c r="A10" s="31"/>
    </row>
    <row r="11">
      <c r="A11" s="32" t="s">
        <v>32</v>
      </c>
    </row>
    <row r="12">
      <c r="A12" s="30" t="s">
        <v>33</v>
      </c>
    </row>
    <row r="13">
      <c r="A13" s="31"/>
    </row>
    <row r="14">
      <c r="A14" s="32" t="s">
        <v>34</v>
      </c>
    </row>
    <row r="15">
      <c r="A15" s="31"/>
    </row>
    <row r="16">
      <c r="A16" s="32" t="s">
        <v>35</v>
      </c>
    </row>
    <row r="17">
      <c r="A17" s="31"/>
    </row>
    <row r="18">
      <c r="A18" s="32" t="s">
        <v>36</v>
      </c>
    </row>
    <row r="19">
      <c r="A19" s="31"/>
    </row>
    <row r="20">
      <c r="A20" s="32" t="s">
        <v>37</v>
      </c>
    </row>
    <row r="21">
      <c r="A21" s="30" t="s">
        <v>38</v>
      </c>
    </row>
    <row r="22">
      <c r="A22" s="31"/>
    </row>
    <row r="23">
      <c r="A23" s="32" t="s">
        <v>39</v>
      </c>
    </row>
    <row r="24">
      <c r="A24" s="31"/>
    </row>
    <row r="25">
      <c r="A25" s="32" t="s">
        <v>40</v>
      </c>
      <c r="B25" s="32" t="s">
        <v>41</v>
      </c>
      <c r="C25" s="32" t="s">
        <v>42</v>
      </c>
      <c r="D25" s="32" t="s">
        <v>43</v>
      </c>
    </row>
    <row r="26">
      <c r="A26" s="32" t="s">
        <v>44</v>
      </c>
      <c r="B26" s="33">
        <v>12.5</v>
      </c>
      <c r="C26" s="33">
        <v>10.0</v>
      </c>
      <c r="D26" s="33">
        <v>3.5</v>
      </c>
    </row>
    <row r="27">
      <c r="A27" s="32" t="s">
        <v>45</v>
      </c>
      <c r="B27" s="33">
        <v>11.0</v>
      </c>
      <c r="C27" s="33">
        <v>9.5</v>
      </c>
      <c r="D27" s="33">
        <v>4.0</v>
      </c>
    </row>
    <row r="28">
      <c r="A28" s="31"/>
    </row>
    <row r="29">
      <c r="A29" s="34" t="s">
        <v>46</v>
      </c>
    </row>
    <row r="30">
      <c r="A30" s="35"/>
    </row>
    <row r="31">
      <c r="A31" s="36" t="s">
        <v>47</v>
      </c>
    </row>
    <row r="32">
      <c r="A32" s="37"/>
    </row>
    <row r="33">
      <c r="A33" s="38" t="s">
        <v>48</v>
      </c>
    </row>
    <row r="34">
      <c r="A34" s="37"/>
    </row>
    <row r="35">
      <c r="A35" s="38" t="s">
        <v>49</v>
      </c>
    </row>
    <row r="36">
      <c r="A36" s="37"/>
    </row>
    <row r="37">
      <c r="A37" s="38" t="s">
        <v>50</v>
      </c>
    </row>
    <row r="38">
      <c r="A38" s="37"/>
    </row>
    <row r="39">
      <c r="A39" s="38" t="s">
        <v>51</v>
      </c>
    </row>
    <row r="40">
      <c r="A40" s="37"/>
    </row>
    <row r="41">
      <c r="A41" s="38" t="s">
        <v>52</v>
      </c>
    </row>
    <row r="42">
      <c r="A42" s="37"/>
    </row>
    <row r="43">
      <c r="A43" s="38" t="s">
        <v>53</v>
      </c>
    </row>
    <row r="44">
      <c r="A44" s="37"/>
    </row>
    <row r="45">
      <c r="A45" s="38" t="s">
        <v>54</v>
      </c>
    </row>
    <row r="46">
      <c r="A46" s="37"/>
    </row>
    <row r="47">
      <c r="A47" s="38" t="s">
        <v>55</v>
      </c>
    </row>
    <row r="48">
      <c r="A48" s="37"/>
    </row>
    <row r="49">
      <c r="A49" s="38" t="s">
        <v>56</v>
      </c>
    </row>
    <row r="50">
      <c r="A50" s="37"/>
    </row>
    <row r="51">
      <c r="A51" s="38" t="s">
        <v>57</v>
      </c>
    </row>
    <row r="52">
      <c r="A52" s="37"/>
    </row>
    <row r="53">
      <c r="A53" s="38" t="s">
        <v>58</v>
      </c>
    </row>
    <row r="54">
      <c r="A54" s="37"/>
    </row>
    <row r="55">
      <c r="A55" s="38" t="s">
        <v>59</v>
      </c>
    </row>
    <row r="56">
      <c r="A56" s="37"/>
    </row>
    <row r="57">
      <c r="A57" s="38" t="s">
        <v>60</v>
      </c>
    </row>
    <row r="58">
      <c r="A58" s="37"/>
    </row>
    <row r="59">
      <c r="A59" s="38" t="s">
        <v>61</v>
      </c>
    </row>
    <row r="60">
      <c r="A60" s="37"/>
    </row>
    <row r="61">
      <c r="A61" s="38" t="s">
        <v>62</v>
      </c>
    </row>
    <row r="62">
      <c r="A62" s="37"/>
    </row>
    <row r="63">
      <c r="A63" s="38" t="s">
        <v>63</v>
      </c>
    </row>
    <row r="64">
      <c r="A64" s="37"/>
    </row>
    <row r="65">
      <c r="A65" s="38" t="s">
        <v>64</v>
      </c>
    </row>
    <row r="66">
      <c r="A66" s="37"/>
    </row>
    <row r="67">
      <c r="A67" s="38" t="s">
        <v>65</v>
      </c>
    </row>
    <row r="68">
      <c r="A68" s="37"/>
    </row>
    <row r="69">
      <c r="A69" s="38" t="s">
        <v>66</v>
      </c>
    </row>
    <row r="70">
      <c r="A70" s="37"/>
    </row>
    <row r="71">
      <c r="A71" s="38" t="s">
        <v>67</v>
      </c>
    </row>
    <row r="72">
      <c r="A72" s="37"/>
    </row>
    <row r="73">
      <c r="A73" s="38" t="s">
        <v>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</cols>
  <sheetData>
    <row r="2">
      <c r="A2" s="39" t="s">
        <v>69</v>
      </c>
      <c r="B2" s="40"/>
      <c r="J2" s="39" t="s">
        <v>69</v>
      </c>
      <c r="K2" s="40"/>
    </row>
    <row r="4">
      <c r="A4" s="41" t="s">
        <v>70</v>
      </c>
      <c r="B4" s="42" t="s">
        <v>71</v>
      </c>
      <c r="C4" s="43" t="s">
        <v>72</v>
      </c>
      <c r="D4" s="43" t="s">
        <v>42</v>
      </c>
      <c r="E4" s="43" t="s">
        <v>43</v>
      </c>
      <c r="J4" s="41" t="s">
        <v>70</v>
      </c>
      <c r="K4" s="42" t="s">
        <v>71</v>
      </c>
      <c r="L4" s="43" t="s">
        <v>72</v>
      </c>
      <c r="M4" s="43" t="s">
        <v>42</v>
      </c>
      <c r="N4" s="43" t="s">
        <v>43</v>
      </c>
    </row>
    <row r="5">
      <c r="A5" s="44" t="s">
        <v>44</v>
      </c>
      <c r="C5" s="45">
        <v>12.5</v>
      </c>
      <c r="D5" s="45">
        <v>10.0</v>
      </c>
      <c r="E5" s="45">
        <v>3.5</v>
      </c>
      <c r="J5" s="44" t="s">
        <v>44</v>
      </c>
      <c r="L5" s="45">
        <v>12.5</v>
      </c>
      <c r="M5" s="45">
        <v>10.0</v>
      </c>
      <c r="N5" s="45">
        <v>3.5</v>
      </c>
    </row>
    <row r="6">
      <c r="A6" s="44" t="s">
        <v>45</v>
      </c>
      <c r="C6" s="45">
        <v>11.0</v>
      </c>
      <c r="D6" s="45">
        <v>9.5</v>
      </c>
      <c r="E6" s="45">
        <v>4.0</v>
      </c>
      <c r="J6" s="44" t="s">
        <v>45</v>
      </c>
      <c r="L6" s="45">
        <v>11.0</v>
      </c>
      <c r="M6" s="45">
        <v>9.5</v>
      </c>
      <c r="N6" s="45">
        <v>4.0</v>
      </c>
    </row>
    <row r="9">
      <c r="A9" s="39" t="s">
        <v>73</v>
      </c>
      <c r="J9" s="39" t="s">
        <v>73</v>
      </c>
    </row>
    <row r="10">
      <c r="A10" s="46"/>
      <c r="B10" s="46"/>
      <c r="C10" s="46"/>
      <c r="J10" s="46"/>
      <c r="K10" s="46"/>
      <c r="L10" s="46"/>
    </row>
    <row r="11">
      <c r="A11" s="4" t="s">
        <v>74</v>
      </c>
      <c r="B11" s="47" t="s">
        <v>75</v>
      </c>
      <c r="C11" s="47" t="s">
        <v>76</v>
      </c>
      <c r="D11" s="47" t="s">
        <v>77</v>
      </c>
      <c r="E11" s="48" t="s">
        <v>78</v>
      </c>
      <c r="F11" s="46" t="s">
        <v>79</v>
      </c>
      <c r="G11" s="46" t="s">
        <v>80</v>
      </c>
      <c r="J11" s="4" t="s">
        <v>74</v>
      </c>
      <c r="K11" s="47" t="s">
        <v>75</v>
      </c>
      <c r="L11" s="47" t="s">
        <v>76</v>
      </c>
      <c r="M11" s="47" t="s">
        <v>77</v>
      </c>
      <c r="N11" s="48" t="s">
        <v>78</v>
      </c>
      <c r="O11" s="46" t="s">
        <v>79</v>
      </c>
      <c r="P11" s="46" t="s">
        <v>80</v>
      </c>
    </row>
    <row r="12">
      <c r="A12" s="48" t="s">
        <v>44</v>
      </c>
      <c r="B12" s="49">
        <v>0.0</v>
      </c>
      <c r="C12" s="50">
        <v>399.9999999999999</v>
      </c>
      <c r="D12" s="49">
        <v>700.0</v>
      </c>
      <c r="E12" s="51">
        <f t="shared" ref="E12:E13" si="1">SUM(B12:D12)</f>
        <v>1100</v>
      </c>
      <c r="F12" s="52" t="s">
        <v>81</v>
      </c>
      <c r="G12" s="53">
        <v>1200.0</v>
      </c>
      <c r="J12" s="48" t="s">
        <v>44</v>
      </c>
      <c r="K12" s="49">
        <v>0.0</v>
      </c>
      <c r="L12" s="49">
        <v>500.0</v>
      </c>
      <c r="M12" s="49">
        <v>700.0</v>
      </c>
      <c r="N12" s="51">
        <f t="shared" ref="N12:N13" si="2">SUM(K12:M12)</f>
        <v>1200</v>
      </c>
      <c r="O12" s="52" t="s">
        <v>81</v>
      </c>
      <c r="P12" s="53">
        <v>1200.0</v>
      </c>
    </row>
    <row r="13">
      <c r="A13" s="48" t="s">
        <v>45</v>
      </c>
      <c r="B13" s="50">
        <v>800.0</v>
      </c>
      <c r="C13" s="50">
        <v>200.00000000000009</v>
      </c>
      <c r="D13" s="50">
        <v>0.0</v>
      </c>
      <c r="E13" s="51">
        <f t="shared" si="1"/>
        <v>1000</v>
      </c>
      <c r="F13" s="52" t="s">
        <v>82</v>
      </c>
      <c r="G13" s="53">
        <v>1000.0</v>
      </c>
      <c r="J13" s="48" t="s">
        <v>45</v>
      </c>
      <c r="K13" s="49">
        <v>800.0</v>
      </c>
      <c r="L13" s="49">
        <v>100.0</v>
      </c>
      <c r="M13" s="49">
        <v>0.0</v>
      </c>
      <c r="N13" s="51">
        <f t="shared" si="2"/>
        <v>900</v>
      </c>
      <c r="O13" s="52" t="s">
        <v>82</v>
      </c>
      <c r="P13" s="53">
        <v>1000.0</v>
      </c>
    </row>
    <row r="14">
      <c r="A14" s="49"/>
      <c r="B14" s="46"/>
      <c r="C14" s="46"/>
      <c r="D14" s="46"/>
      <c r="E14" s="52"/>
      <c r="F14" s="4"/>
      <c r="J14" s="49"/>
      <c r="K14" s="46"/>
      <c r="L14" s="46"/>
      <c r="M14" s="46"/>
      <c r="N14" s="52"/>
      <c r="O14" s="4"/>
    </row>
    <row r="15">
      <c r="A15" s="49" t="s">
        <v>83</v>
      </c>
      <c r="B15" s="54">
        <v>800.0</v>
      </c>
      <c r="C15" s="54">
        <v>600.0</v>
      </c>
      <c r="D15" s="54">
        <v>700.0</v>
      </c>
      <c r="E15" s="51">
        <f>SUM(B15:D15)</f>
        <v>2100</v>
      </c>
      <c r="F15" s="4"/>
      <c r="J15" s="49" t="s">
        <v>83</v>
      </c>
      <c r="K15" s="54">
        <v>800.0</v>
      </c>
      <c r="L15" s="54">
        <v>600.0</v>
      </c>
      <c r="M15" s="54">
        <v>700.0</v>
      </c>
      <c r="N15" s="51">
        <f>SUM(K15:M15)</f>
        <v>2100</v>
      </c>
      <c r="O15" s="4"/>
    </row>
    <row r="16">
      <c r="B16" s="55">
        <f t="shared" ref="B16:D16" si="3">SUM(B12:B13)</f>
        <v>800</v>
      </c>
      <c r="C16" s="55">
        <f t="shared" si="3"/>
        <v>600</v>
      </c>
      <c r="D16" s="55">
        <f t="shared" si="3"/>
        <v>700</v>
      </c>
      <c r="K16" s="55">
        <f t="shared" ref="K16:M16" si="4">SUM(K12:K13)</f>
        <v>800</v>
      </c>
      <c r="L16" s="55">
        <f t="shared" si="4"/>
        <v>600</v>
      </c>
      <c r="M16" s="55">
        <f t="shared" si="4"/>
        <v>700</v>
      </c>
    </row>
    <row r="17">
      <c r="A17" s="20" t="s">
        <v>84</v>
      </c>
      <c r="B17" s="55">
        <f>SUMPRODUCT(C5:C6,B12:B13)+sumproduct(D5:D6,C12:C13)+sumproduct(E5:E6,D12:D13)</f>
        <v>17150</v>
      </c>
      <c r="J17" s="20" t="s">
        <v>84</v>
      </c>
      <c r="K17" s="55">
        <f>SUMPRODUCT(L5:L6,K12:K13)+sumproduct(M5:M6,L12:L13)+sumproduct(N5:N6,M12:M13)</f>
        <v>17200</v>
      </c>
      <c r="L17" s="20" t="s">
        <v>85</v>
      </c>
    </row>
    <row r="21">
      <c r="A21" s="19" t="s">
        <v>86</v>
      </c>
    </row>
    <row r="24">
      <c r="A24" s="19" t="s">
        <v>87</v>
      </c>
    </row>
  </sheetData>
  <mergeCells count="3">
    <mergeCell ref="A9:C9"/>
    <mergeCell ref="J9:L9"/>
    <mergeCell ref="A21:C21"/>
  </mergeCells>
  <hyperlinks>
    <hyperlink r:id="rId4" ref="A21"/>
    <hyperlink r:id="rId5" ref="A24"/>
  </hyperlinks>
  <drawing r:id="rId6"/>
  <legacy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tr">
        <f>ModelSheet='OPT2'!A:Z</f>
        <v>#NAME?</v>
      </c>
    </row>
    <row r="2">
      <c r="A2" s="55" t="str">
        <f>OpenSolver_AdjNum=1</f>
        <v>#NAME?</v>
      </c>
    </row>
    <row r="3">
      <c r="A3" s="55" t="str">
        <f>OpenSolver_ChosenSolver=Google</f>
        <v>#NAME?</v>
      </c>
    </row>
    <row r="4">
      <c r="A4" s="55" t="str">
        <f>OpenSolver_FastBuild=0</f>
        <v>#NAME?</v>
      </c>
    </row>
    <row r="5">
      <c r="A5" s="55" t="str">
        <f>OpenSolver_LinearityCheck=1</f>
        <v>#NAME?</v>
      </c>
    </row>
    <row r="6">
      <c r="A6" s="55" t="str">
        <f>solver_adj='OPT2'!B12:D13</f>
        <v>#NAME?</v>
      </c>
    </row>
    <row r="7">
      <c r="A7" s="55" t="str">
        <f>solver_lhs1='OPT2'!B15:D15</f>
        <v>#NAME?</v>
      </c>
    </row>
    <row r="8">
      <c r="A8" s="55" t="str">
        <f>solver_lhs2='OPT2'!E12:E13</f>
        <v>#NAME?</v>
      </c>
    </row>
    <row r="9">
      <c r="A9" s="55" t="str">
        <f>solver_neg=1</f>
        <v>#NAME?</v>
      </c>
    </row>
    <row r="10">
      <c r="A10" s="55" t="str">
        <f>solver_num=2</f>
        <v>#NAME?</v>
      </c>
    </row>
    <row r="11">
      <c r="A11" s="55" t="str">
        <f>solver_opt='OPT2'!B17</f>
        <v>#NAME?</v>
      </c>
    </row>
    <row r="12">
      <c r="A12" s="55" t="str">
        <f>solver_rel1=1</f>
        <v>#NAME?</v>
      </c>
    </row>
    <row r="13">
      <c r="A13" s="55" t="str">
        <f>solver_rel2=1</f>
        <v>#NAME?</v>
      </c>
    </row>
    <row r="14">
      <c r="A14" s="55" t="str">
        <f>solver_rhs1='OPT2'!B16:D16</f>
        <v>#NAME?</v>
      </c>
    </row>
    <row r="15">
      <c r="A15" s="55" t="str">
        <f>solver_rhs2='OPT2'!G12:G13</f>
        <v>#NAME?</v>
      </c>
    </row>
    <row r="16">
      <c r="A16" s="55" t="str">
        <f>solver_sho=1</f>
        <v>#NAME?</v>
      </c>
    </row>
    <row r="17">
      <c r="A17" s="55" t="str">
        <f>solver_typ=2</f>
        <v>#NAME?</v>
      </c>
    </row>
    <row r="18">
      <c r="A18" s="55" t="str">
        <f>solver_val=0</f>
        <v>#NAME?</v>
      </c>
    </row>
  </sheetData>
  <drawing r:id="rId1"/>
</worksheet>
</file>